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en_skoroszyt"/>
  <mc:AlternateContent xmlns:mc="http://schemas.openxmlformats.org/markup-compatibility/2006">
    <mc:Choice Requires="x15">
      <x15ac:absPath xmlns:x15ac="http://schemas.microsoft.com/office/spreadsheetml/2010/11/ac" url="D:\CV\PackagingViewer\"/>
    </mc:Choice>
  </mc:AlternateContent>
  <xr:revisionPtr revIDLastSave="0" documentId="13_ncr:1_{A35BF959-4430-46FA-9C59-0C6FE596AD6F}" xr6:coauthVersionLast="47" xr6:coauthVersionMax="47" xr10:uidLastSave="{00000000-0000-0000-0000-000000000000}"/>
  <bookViews>
    <workbookView xWindow="1380" yWindow="4224" windowWidth="17280" windowHeight="9960" xr2:uid="{00000000-000D-0000-FFFF-FFFF00000000}"/>
  </bookViews>
  <sheets>
    <sheet name="ExcelData" sheetId="17" r:id="rId1"/>
    <sheet name="Customer" sheetId="19" r:id="rId2"/>
    <sheet name="JSON" sheetId="11" r:id="rId3"/>
  </sheets>
  <definedNames>
    <definedName name="_xleta.CODE" hidden="1" xlm="1">#NAME?</definedName>
    <definedName name="_xleta.CONCAT" hidden="1" xlm="1">#NAME?</definedName>
    <definedName name="_xleta.CONCATENATE" hidden="1" xlm="1">#NAME?</definedName>
    <definedName name="_xleta.MAX" hidden="1" xlm="1">#NAME?</definedName>
    <definedName name="_xleta.MIN" hidden="1" xlm="1">#NAME?</definedName>
    <definedName name="_xleta.MINIFS" hidden="1" xlm="1">#NAME?</definedName>
    <definedName name="_xleta.RANK" hidden="1" xlm="1">#NAME?</definedName>
    <definedName name="_xleta.TEXTJOIN" hidden="1" xlm="1">#NAME?</definedName>
    <definedName name="_xleta.TYPE" hidden="1" xlm="1">#NAME?</definedName>
    <definedName name="ExternalData_2" localSheetId="1" hidden="1">'Customer'!$A$1:$A$3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9" l="1" a="1"/>
  <c r="B2" i="19" s="1"/>
  <c r="C2" i="19" s="1"/>
  <c r="B3" i="19" a="1"/>
  <c r="B3" i="19" s="1"/>
  <c r="C3" i="19" s="1"/>
  <c r="E6" i="17" l="1"/>
  <c r="D6" i="17" s="1"/>
  <c r="E7" i="17"/>
  <c r="D7" i="17" s="1"/>
  <c r="F7" i="17" s="1"/>
  <c r="H7" i="17" s="1"/>
  <c r="E8" i="17"/>
  <c r="D8" i="17" s="1"/>
  <c r="F8" i="17" s="1"/>
  <c r="E9" i="17"/>
  <c r="D9" i="17" s="1"/>
  <c r="F9" i="17" s="1"/>
  <c r="E10" i="17"/>
  <c r="D10" i="17" s="1"/>
  <c r="F10" i="17" s="1"/>
  <c r="E11" i="17"/>
  <c r="D11" i="17" s="1"/>
  <c r="F11" i="17" s="1"/>
  <c r="E12" i="17"/>
  <c r="D12" i="17" s="1"/>
  <c r="F12" i="17" s="1"/>
  <c r="E5" i="17"/>
  <c r="D5" i="17" s="1"/>
  <c r="F5" i="17" s="1"/>
  <c r="H10" i="17" l="1"/>
  <c r="H11" i="17"/>
  <c r="H5" i="17"/>
  <c r="H8" i="17"/>
  <c r="F6" i="17"/>
  <c r="H6" i="17" s="1"/>
  <c r="H12" i="17"/>
  <c r="H9" i="17"/>
  <c r="B2" i="11" l="1"/>
  <c r="K2" i="1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6E14BD0-2711-4C7E-9AC9-1FDAD1E79A42}" keepAlive="1" name="Query - Customer" description="Connection to the 'Customer' query in the workbook." type="5" refreshedVersion="8" background="1" saveData="1">
    <dbPr connection="Provider=Microsoft.Mashup.OleDb.1;Data Source=$Workbook$;Location=Customer;Extended Properties=&quot;&quot;" command="SELECT * FROM [Customer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<sst xmlns="http://schemas.openxmlformats.org/spreadsheetml/2006/main" count="52" uniqueCount="26">
  <si>
    <t>"full_packages":</t>
  </si>
  <si>
    <t>"max_sheets":</t>
  </si>
  <si>
    <t>"last_package":</t>
  </si>
  <si>
    <t>"packages":</t>
  </si>
  <si>
    <t>"</t>
  </si>
  <si>
    <t>FullPackages</t>
  </si>
  <si>
    <t>LastPackage</t>
  </si>
  <si>
    <t>FullPackegePeces</t>
  </si>
  <si>
    <t>Customer</t>
  </si>
  <si>
    <t>Customer A</t>
  </si>
  <si>
    <t>Customer B</t>
  </si>
  <si>
    <t>Item</t>
  </si>
  <si>
    <t>Item A</t>
  </si>
  <si>
    <t>Item B</t>
  </si>
  <si>
    <t>Item C</t>
  </si>
  <si>
    <t>Item D</t>
  </si>
  <si>
    <t>Item E</t>
  </si>
  <si>
    <t>Order_Id</t>
  </si>
  <si>
    <t>Order_[peces]</t>
  </si>
  <si>
    <t>JSON</t>
  </si>
  <si>
    <t>JSON name</t>
  </si>
  <si>
    <t>JSON code</t>
  </si>
  <si>
    <t>Special</t>
  </si>
  <si>
    <t>CustomerCode</t>
  </si>
  <si>
    <t>Excel Column</t>
  </si>
  <si>
    <t>"item_name":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</si>
</sst>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1">
    <cellStyle name="Normalny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0</xdr:row>
      <xdr:rowOff>30480</xdr:rowOff>
    </xdr:from>
    <xdr:to>
      <xdr:col>3</xdr:col>
      <xdr:colOff>441960</xdr:colOff>
      <xdr:row>2</xdr:row>
      <xdr:rowOff>160020</xdr:rowOff>
    </xdr:to>
    <xdr:sp macro="[0]!ExportJsonToFile" textlink="">
      <xdr:nvSpPr>
        <xdr:cNvPr id="2" name="Prostokąt: zaokrąglone rogi 1">
          <a:extLst>
            <a:ext uri="{FF2B5EF4-FFF2-40B4-BE49-F238E27FC236}">
              <a16:creationId xmlns:a16="http://schemas.microsoft.com/office/drawing/2014/main" id="{10887B87-EB04-7A51-3DDB-19B56AC66058}"/>
            </a:ext>
          </a:extLst>
        </xdr:cNvPr>
        <xdr:cNvSpPr/>
      </xdr:nvSpPr>
      <xdr:spPr>
        <a:xfrm>
          <a:off x="632460" y="30480"/>
          <a:ext cx="1859280" cy="495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/>
            <a:t>Generate JSON code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61E4277D-DCCC-4936-B8CA-4413A2A41FE6}" autoFormatId="16" applyNumberFormats="0" applyBorderFormats="0" applyFontFormats="0" applyPatternFormats="0" applyAlignmentFormats="0" applyWidthHeightFormats="0">
  <queryTableRefresh nextId="6" unboundColumnsRight="2">
    <queryTableFields count="3">
      <queryTableField id="1" name="Customer" tableColumnId="1"/>
      <queryTableField id="2" dataBound="0" tableColumnId="2"/>
      <queryTableField id="3" dataBound="0" tableColumnId="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6E6812-28E6-47BB-AA4E-55D36FA3E4D5}" name="Data" displayName="Data" ref="A4:H12" totalsRowShown="0">
  <autoFilter ref="A4:H12" xr:uid="{CA6E6812-28E6-47BB-AA4E-55D36FA3E4D5}"/>
  <tableColumns count="8">
    <tableColumn id="1" xr3:uid="{E5C0DAC2-DFCC-499A-96DF-29939A764C14}" name="Order_Id"/>
    <tableColumn id="7" xr3:uid="{491723E2-9487-4A73-B459-B607F61D46FE}" name="Item"/>
    <tableColumn id="8" xr3:uid="{60BD2D82-D38A-48A1-97DB-F5EC6DAEB3EB}" name="Order_[peces]" dataDxfId="4"/>
    <tableColumn id="3" xr3:uid="{EA0714ED-1243-4B5A-A870-05D7A8F793F5}" name="FullPackages">
      <calculatedColumnFormula>ROUNDDOWN(Data[[#This Row],[Order_'[peces']]]/Data[[#This Row],[FullPackegePeces]],0)</calculatedColumnFormula>
    </tableColumn>
    <tableColumn id="5" xr3:uid="{4303717D-794C-4996-B3AC-8D6F59C7756C}" name="FullPackegePeces">
      <calculatedColumnFormula>_xlfn.XLOOKUP(Data[[#This Row],[Item]],Items[Item],Items[FullPackegePeces],"Item not found",0)</calculatedColumnFormula>
    </tableColumn>
    <tableColumn id="4" xr3:uid="{3D52C910-B16E-4504-8722-00AD511ACE99}" name="LastPackage">
      <calculatedColumnFormula>Data[[#This Row],[Order_'[peces']]]-Data[[#This Row],[FullPackages]]*Data[[#This Row],[FullPackegePeces]]</calculatedColumnFormula>
    </tableColumn>
    <tableColumn id="6" xr3:uid="{38696E1B-39D5-450B-9113-347346D6EFE2}" name="Customer"/>
    <tableColumn id="9" xr3:uid="{91BCD6E2-D2C7-424C-9934-B28FF1386919}" name="JSON" dataDxfId="3">
      <calculatedColumnFormula>_xlfn.CONCAT("{",JSON!$F$5,JSON!$I$2,Data[[#This Row],[Item]],JSON!$I$2,",",JSON!$F$2,Data[[#This Row],[FullPackages]],",",JSON!$F$3,Data[[#This Row],[FullPackegePeces]],",",JSON!$F$4,Data[[#This Row],[LastPackage]],"}")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FBAD310-8780-43B9-A82C-D30CECBAA279}" name="Items" displayName="Items" ref="K4:L9" totalsRowShown="0">
  <autoFilter ref="K4:L9" xr:uid="{4FBAD310-8780-43B9-A82C-D30CECBAA279}"/>
  <tableColumns count="2">
    <tableColumn id="1" xr3:uid="{D1EA76BF-30C9-4069-ADB4-453235D86473}" name="Item"/>
    <tableColumn id="2" xr3:uid="{E1C0A03A-93AB-4FBC-AB3A-F13B0DDF449A}" name="FullPackegePec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C04BD2-D119-471A-A9EE-7F8336548BE5}" name="Customer" displayName="Customer" ref="A1:C3" tableType="queryTable" totalsRowShown="0">
  <autoFilter ref="A1:C3" xr:uid="{DDC04BD2-D119-471A-A9EE-7F8336548BE5}"/>
  <tableColumns count="3">
    <tableColumn id="1" xr3:uid="{E2472C6E-29E1-46D6-A335-FE88457A83EC}" uniqueName="1" name="Customer" queryTableFieldId="1" dataDxfId="2"/>
    <tableColumn id="2" xr3:uid="{6C1EC1D9-7820-4554-958E-47FAE4CEA9C3}" uniqueName="2" name="CustomerCode" queryTableFieldId="2" dataDxfId="1">
      <calculatedColumnFormula array="1">_xlfn.CONCAT(" [",_xlfn.TEXTJOIN(",",TRUE,_xlfn._xlws.FILTER(Data[JSON],Data[Customer]=Customer[[#This Row],[Customer]])),"]")</calculatedColumnFormula>
    </tableColumn>
    <tableColumn id="3" xr3:uid="{5D6EF2C0-D3D6-4E48-B13F-583CC9D53FCE}" uniqueName="3" name="JSON" queryTableFieldId="3" dataDxfId="0">
      <calculatedColumnFormula>_xlfn.CONCAT(JSON!$I$2,Customer[[#This Row],[Customer]],JSON!$I$2,": ",Customer[[#This Row],[CustomerCode]])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CF6243-1E05-453D-94F6-69C75A1B919A}" name="JSONname" displayName="JSONname" ref="F1:G5" totalsRowShown="0">
  <autoFilter ref="F1:G5" xr:uid="{5ACF6243-1E05-453D-94F6-69C75A1B919A}"/>
  <tableColumns count="2">
    <tableColumn id="1" xr3:uid="{E4F1CB0F-D778-46E9-9193-9A3871176211}" name="JSON name"/>
    <tableColumn id="2" xr3:uid="{3F4961FF-D0CA-425F-9EA4-281A08BE36BA}" name="Excel Colum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767BD12-7EBA-4748-9936-152A62389583}" name="JSONcode" displayName="JSONcode" ref="A1:B2" totalsRowShown="0">
  <autoFilter ref="A1:B2" xr:uid="{C767BD12-7EBA-4748-9936-152A62389583}"/>
  <tableColumns count="2">
    <tableColumn id="1" xr3:uid="{B0698201-465C-4E1D-9946-3BF4EBEC8608}" name="JSON name"/>
    <tableColumn id="2" xr3:uid="{56489652-00E8-4929-AE8C-CB402D2BC92A}" name="JSON code">
      <calculatedColumnFormula>_xlfn.CONCAT(A2," [{",_xlfn.TEXTJOIN(",",TRUE,INDEX(Customer[JSON],1):INDEX(Customer[JSON],COUNTIFS(Customer[JSON],"&lt;&gt;"&amp;""))),"}]")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5963B-FDCC-47E1-A20B-2BF910F2EE14}">
  <sheetPr codeName="Arkusz1"/>
  <dimension ref="A4:L12"/>
  <sheetViews>
    <sheetView tabSelected="1" workbookViewId="0">
      <selection activeCell="E2" sqref="E2"/>
    </sheetView>
  </sheetViews>
  <sheetFormatPr defaultRowHeight="14.4" x14ac:dyDescent="0.3"/>
  <cols>
    <col min="3" max="3" width="12.109375" customWidth="1"/>
    <col min="4" max="4" width="14.33203125" customWidth="1"/>
    <col min="5" max="5" width="19.33203125" customWidth="1"/>
    <col min="6" max="6" width="13.6640625" customWidth="1"/>
    <col min="7" max="7" width="11.88671875" bestFit="1" customWidth="1"/>
    <col min="12" max="12" width="18.21875" customWidth="1"/>
  </cols>
  <sheetData>
    <row r="4" spans="1:12" x14ac:dyDescent="0.3">
      <c r="A4" t="s">
        <v>17</v>
      </c>
      <c r="B4" t="s">
        <v>11</v>
      </c>
      <c r="C4" t="s">
        <v>18</v>
      </c>
      <c r="D4" t="s">
        <v>5</v>
      </c>
      <c r="E4" t="s">
        <v>7</v>
      </c>
      <c r="F4" t="s">
        <v>6</v>
      </c>
      <c r="G4" t="s">
        <v>8</v>
      </c>
      <c r="H4" t="s">
        <v>19</v>
      </c>
      <c r="K4" t="s">
        <v>11</v>
      </c>
      <c r="L4" t="s">
        <v>7</v>
      </c>
    </row>
    <row r="5" spans="1:12" x14ac:dyDescent="0.3">
      <c r="A5">
        <v>1</v>
      </c>
      <c r="B5" t="s">
        <v>12</v>
      </c>
      <c r="C5">
        <v>8</v>
      </c>
      <c r="D5">
        <f>ROUNDDOWN(Data[[#This Row],[Order_'[peces']]]/Data[[#This Row],[FullPackegePeces]],0)</f>
        <v>2</v>
      </c>
      <c r="E5">
        <f>_xlfn.XLOOKUP(Data[[#This Row],[Item]],Items[Item],Items[FullPackegePeces],"Item not found",0)</f>
        <v>3</v>
      </c>
      <c r="F5">
        <f>Data[[#This Row],[Order_'[peces']]]-Data[[#This Row],[FullPackages]]*Data[[#This Row],[FullPackegePeces]]</f>
        <v>2</v>
      </c>
      <c r="G5" t="s">
        <v>9</v>
      </c>
      <c r="H5" t="str">
        <f>_xlfn.CONCAT("{",JSON!$F$5,JSON!$I$2,Data[[#This Row],[Item]],JSON!$I$2,",",JSON!$F$2,Data[[#This Row],[FullPackages]],",",JSON!$F$3,Data[[#This Row],[FullPackegePeces]],",",JSON!$F$4,Data[[#This Row],[LastPackage]],"}")</f>
        <v>{"item_name":"Item A","full_packages":2,"max_sheets":3,"last_package":2}</v>
      </c>
      <c r="K5" t="s">
        <v>12</v>
      </c>
      <c r="L5">
        <v>3</v>
      </c>
    </row>
    <row r="6" spans="1:12" x14ac:dyDescent="0.3">
      <c r="A6">
        <v>2</v>
      </c>
      <c r="B6" t="s">
        <v>13</v>
      </c>
      <c r="C6">
        <v>8</v>
      </c>
      <c r="D6">
        <f>ROUNDDOWN(Data[[#This Row],[Order_'[peces']]]/Data[[#This Row],[FullPackegePeces]],0)</f>
        <v>4</v>
      </c>
      <c r="E6">
        <f>_xlfn.XLOOKUP(Data[[#This Row],[Item]],Items[Item],Items[FullPackegePeces],"Item not found",0)</f>
        <v>2</v>
      </c>
      <c r="F6">
        <f>Data[[#This Row],[Order_'[peces']]]-Data[[#This Row],[FullPackages]]*Data[[#This Row],[FullPackegePeces]]</f>
        <v>0</v>
      </c>
      <c r="G6" t="s">
        <v>9</v>
      </c>
      <c r="H6" t="str">
        <f>_xlfn.CONCAT("{",JSON!$F$5,JSON!$I$2,Data[[#This Row],[Item]],JSON!$I$2,",",JSON!$F$2,Data[[#This Row],[FullPackages]],",",JSON!$F$3,Data[[#This Row],[FullPackegePeces]],",",JSON!$F$4,Data[[#This Row],[LastPackage]],"}")</f>
        <v>{"item_name":"Item B","full_packages":4,"max_sheets":2,"last_package":0}</v>
      </c>
      <c r="K6" t="s">
        <v>13</v>
      </c>
      <c r="L6">
        <v>2</v>
      </c>
    </row>
    <row r="7" spans="1:12" x14ac:dyDescent="0.3">
      <c r="A7">
        <v>3</v>
      </c>
      <c r="B7" t="s">
        <v>14</v>
      </c>
      <c r="C7">
        <v>4</v>
      </c>
      <c r="D7">
        <f>ROUNDDOWN(Data[[#This Row],[Order_'[peces']]]/Data[[#This Row],[FullPackegePeces]],0)</f>
        <v>1</v>
      </c>
      <c r="E7">
        <f>_xlfn.XLOOKUP(Data[[#This Row],[Item]],Items[Item],Items[FullPackegePeces],"Item not found",0)</f>
        <v>3</v>
      </c>
      <c r="F7">
        <f>Data[[#This Row],[Order_'[peces']]]-Data[[#This Row],[FullPackages]]*Data[[#This Row],[FullPackegePeces]]</f>
        <v>1</v>
      </c>
      <c r="G7" t="s">
        <v>9</v>
      </c>
      <c r="H7" t="str">
        <f>_xlfn.CONCAT("{",JSON!$F$5,JSON!$I$2,Data[[#This Row],[Item]],JSON!$I$2,",",JSON!$F$2,Data[[#This Row],[FullPackages]],",",JSON!$F$3,Data[[#This Row],[FullPackegePeces]],",",JSON!$F$4,Data[[#This Row],[LastPackage]],"}")</f>
        <v>{"item_name":"Item C","full_packages":1,"max_sheets":3,"last_package":1}</v>
      </c>
      <c r="K7" t="s">
        <v>14</v>
      </c>
      <c r="L7">
        <v>3</v>
      </c>
    </row>
    <row r="8" spans="1:12" x14ac:dyDescent="0.3">
      <c r="A8">
        <v>4</v>
      </c>
      <c r="B8" t="s">
        <v>12</v>
      </c>
      <c r="C8">
        <v>17</v>
      </c>
      <c r="D8">
        <f>ROUNDDOWN(Data[[#This Row],[Order_'[peces']]]/Data[[#This Row],[FullPackegePeces]],0)</f>
        <v>5</v>
      </c>
      <c r="E8">
        <f>_xlfn.XLOOKUP(Data[[#This Row],[Item]],Items[Item],Items[FullPackegePeces],"Item not found",0)</f>
        <v>3</v>
      </c>
      <c r="F8">
        <f>Data[[#This Row],[Order_'[peces']]]-Data[[#This Row],[FullPackages]]*Data[[#This Row],[FullPackegePeces]]</f>
        <v>2</v>
      </c>
      <c r="G8" t="s">
        <v>10</v>
      </c>
      <c r="H8" t="str">
        <f>_xlfn.CONCAT("{",JSON!$F$5,JSON!$I$2,Data[[#This Row],[Item]],JSON!$I$2,",",JSON!$F$2,Data[[#This Row],[FullPackages]],",",JSON!$F$3,Data[[#This Row],[FullPackegePeces]],",",JSON!$F$4,Data[[#This Row],[LastPackage]],"}")</f>
        <v>{"item_name":"Item A","full_packages":5,"max_sheets":3,"last_package":2}</v>
      </c>
      <c r="K8" t="s">
        <v>15</v>
      </c>
      <c r="L8">
        <v>2</v>
      </c>
    </row>
    <row r="9" spans="1:12" x14ac:dyDescent="0.3">
      <c r="A9">
        <v>5</v>
      </c>
      <c r="B9" t="s">
        <v>13</v>
      </c>
      <c r="C9">
        <v>4</v>
      </c>
      <c r="D9">
        <f>ROUNDDOWN(Data[[#This Row],[Order_'[peces']]]/Data[[#This Row],[FullPackegePeces]],0)</f>
        <v>2</v>
      </c>
      <c r="E9">
        <f>_xlfn.XLOOKUP(Data[[#This Row],[Item]],Items[Item],Items[FullPackegePeces],"Item not found",0)</f>
        <v>2</v>
      </c>
      <c r="F9">
        <f>Data[[#This Row],[Order_'[peces']]]-Data[[#This Row],[FullPackages]]*Data[[#This Row],[FullPackegePeces]]</f>
        <v>0</v>
      </c>
      <c r="G9" t="s">
        <v>10</v>
      </c>
      <c r="H9" t="str">
        <f>_xlfn.CONCAT("{",JSON!$F$5,JSON!$I$2,Data[[#This Row],[Item]],JSON!$I$2,",",JSON!$F$2,Data[[#This Row],[FullPackages]],",",JSON!$F$3,Data[[#This Row],[FullPackegePeces]],",",JSON!$F$4,Data[[#This Row],[LastPackage]],"}")</f>
        <v>{"item_name":"Item B","full_packages":2,"max_sheets":2,"last_package":0}</v>
      </c>
      <c r="K9" t="s">
        <v>16</v>
      </c>
      <c r="L9">
        <v>5</v>
      </c>
    </row>
    <row r="10" spans="1:12" x14ac:dyDescent="0.3">
      <c r="A10">
        <v>6</v>
      </c>
      <c r="B10" t="s">
        <v>14</v>
      </c>
      <c r="C10">
        <v>13</v>
      </c>
      <c r="D10">
        <f>ROUNDDOWN(Data[[#This Row],[Order_'[peces']]]/Data[[#This Row],[FullPackegePeces]],0)</f>
        <v>4</v>
      </c>
      <c r="E10">
        <f>_xlfn.XLOOKUP(Data[[#This Row],[Item]],Items[Item],Items[FullPackegePeces],"Item not found",0)</f>
        <v>3</v>
      </c>
      <c r="F10">
        <f>Data[[#This Row],[Order_'[peces']]]-Data[[#This Row],[FullPackages]]*Data[[#This Row],[FullPackegePeces]]</f>
        <v>1</v>
      </c>
      <c r="G10" t="s">
        <v>10</v>
      </c>
      <c r="H10" t="str">
        <f>_xlfn.CONCAT("{",JSON!$F$5,JSON!$I$2,Data[[#This Row],[Item]],JSON!$I$2,",",JSON!$F$2,Data[[#This Row],[FullPackages]],",",JSON!$F$3,Data[[#This Row],[FullPackegePeces]],",",JSON!$F$4,Data[[#This Row],[LastPackage]],"}")</f>
        <v>{"item_name":"Item C","full_packages":4,"max_sheets":3,"last_package":1}</v>
      </c>
    </row>
    <row r="11" spans="1:12" x14ac:dyDescent="0.3">
      <c r="A11">
        <v>7</v>
      </c>
      <c r="B11" t="s">
        <v>15</v>
      </c>
      <c r="C11">
        <v>4</v>
      </c>
      <c r="D11">
        <f>ROUNDDOWN(Data[[#This Row],[Order_'[peces']]]/Data[[#This Row],[FullPackegePeces]],0)</f>
        <v>2</v>
      </c>
      <c r="E11">
        <f>_xlfn.XLOOKUP(Data[[#This Row],[Item]],Items[Item],Items[FullPackegePeces],"Item not found",0)</f>
        <v>2</v>
      </c>
      <c r="F11">
        <f>Data[[#This Row],[Order_'[peces']]]-Data[[#This Row],[FullPackages]]*Data[[#This Row],[FullPackegePeces]]</f>
        <v>0</v>
      </c>
      <c r="G11" t="s">
        <v>10</v>
      </c>
      <c r="H11" t="str">
        <f>_xlfn.CONCAT("{",JSON!$F$5,JSON!$I$2,Data[[#This Row],[Item]],JSON!$I$2,",",JSON!$F$2,Data[[#This Row],[FullPackages]],",",JSON!$F$3,Data[[#This Row],[FullPackegePeces]],",",JSON!$F$4,Data[[#This Row],[LastPackage]],"}")</f>
        <v>{"item_name":"Item D","full_packages":2,"max_sheets":2,"last_package":0}</v>
      </c>
    </row>
    <row r="12" spans="1:12" x14ac:dyDescent="0.3">
      <c r="A12">
        <v>8</v>
      </c>
      <c r="B12" t="s">
        <v>16</v>
      </c>
      <c r="C12">
        <v>6</v>
      </c>
      <c r="D12">
        <f>ROUNDDOWN(Data[[#This Row],[Order_'[peces']]]/Data[[#This Row],[FullPackegePeces]],0)</f>
        <v>1</v>
      </c>
      <c r="E12">
        <f>_xlfn.XLOOKUP(Data[[#This Row],[Item]],Items[Item],Items[FullPackegePeces],"Item not found",0)</f>
        <v>5</v>
      </c>
      <c r="F12">
        <f>Data[[#This Row],[Order_'[peces']]]-Data[[#This Row],[FullPackages]]*Data[[#This Row],[FullPackegePeces]]</f>
        <v>1</v>
      </c>
      <c r="G12" t="s">
        <v>10</v>
      </c>
      <c r="H12" t="str">
        <f>_xlfn.CONCAT("{",JSON!$F$5,JSON!$I$2,Data[[#This Row],[Item]],JSON!$I$2,",",JSON!$F$2,Data[[#This Row],[FullPackages]],",",JSON!$F$3,Data[[#This Row],[FullPackegePeces]],",",JSON!$F$4,Data[[#This Row],[LastPackage]],"}")</f>
        <v>{"item_name":"Item E","full_packages":1,"max_sheets":5,"last_package":1}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350B3-E7FA-4B13-9A26-ECAA6E10A5D7}">
  <sheetPr codeName="Arkusz2"/>
  <dimension ref="A1:C3"/>
  <sheetViews>
    <sheetView workbookViewId="0">
      <selection activeCell="B3" sqref="B3"/>
    </sheetView>
  </sheetViews>
  <sheetFormatPr defaultRowHeight="14.4" x14ac:dyDescent="0.3"/>
  <cols>
    <col min="1" max="1" width="11.33203125" bestFit="1" customWidth="1"/>
    <col min="2" max="3" width="80.88671875" bestFit="1" customWidth="1"/>
  </cols>
  <sheetData>
    <row r="1" spans="1:3" x14ac:dyDescent="0.3">
      <c r="A1" t="s">
        <v>8</v>
      </c>
      <c r="B1" t="s">
        <v>23</v>
      </c>
      <c r="C1" t="s">
        <v>19</v>
      </c>
    </row>
    <row r="2" spans="1:3" x14ac:dyDescent="0.3">
      <c r="A2" t="s">
        <v>9</v>
      </c>
      <c r="B2" t="str" cm="1">
        <f t="array" ref="B2">_xlfn.CONCAT(" [",_xlfn.TEXTJOIN(",",TRUE,_xlfn._xlws.FILTER(Data[JSON],Data[Customer]=Customer[[#This Row],[Customer]])),"]")</f>
        <v xml:space="preserve"> [{"item_name":"Item A","full_packages":2,"max_sheets":3,"last_package":2},{"item_name":"Item B","full_packages":4,"max_sheets":2,"last_package":0},{"item_name":"Item C","full_packages":1,"max_sheets":3,"last_package":1}]</v>
      </c>
      <c r="C2" t="str">
        <f>_xlfn.CONCAT(JSON!$I$2,Customer[[#This Row],[Customer]],JSON!$I$2,": ",Customer[[#This Row],[CustomerCode]])</f>
        <v>"Customer A":  [{"item_name":"Item A","full_packages":2,"max_sheets":3,"last_package":2},{"item_name":"Item B","full_packages":4,"max_sheets":2,"last_package":0},{"item_name":"Item C","full_packages":1,"max_sheets":3,"last_package":1}]</v>
      </c>
    </row>
    <row r="3" spans="1:3" x14ac:dyDescent="0.3">
      <c r="A3" t="s">
        <v>10</v>
      </c>
      <c r="B3" t="str" cm="1">
        <f t="array" ref="B3">_xlfn.CONCAT(" [",_xlfn.TEXTJOIN(",",TRUE,_xlfn._xlws.FILTER(Data[JSON],Data[Customer]=Customer[[#This Row],[Customer]])),"]")</f>
        <v xml:space="preserve"> [{"item_name":"Item A","full_packages":5,"max_sheets":3,"last_package":2},{"item_name":"Item B","full_packages":2,"max_sheets":2,"last_package":0},{"item_name":"Item C","full_packages":4,"max_sheets":3,"last_package":1},{"item_name":"Item D","full_packages":2,"max_sheets":2,"last_package":0},{"item_name":"Item E","full_packages":1,"max_sheets":5,"last_package":1}]</v>
      </c>
      <c r="C3" t="str">
        <f>_xlfn.CONCAT(JSON!$I$2,Customer[[#This Row],[Customer]],JSON!$I$2,": ",Customer[[#This Row],[CustomerCode]])</f>
        <v>"Customer B":  [{"item_name":"Item A","full_packages":5,"max_sheets":3,"last_package":2},{"item_name":"Item B","full_packages":2,"max_sheets":2,"last_package":0},{"item_name":"Item C","full_packages":4,"max_sheets":3,"last_package":1},{"item_name":"Item D","full_packages":2,"max_sheets":2,"last_package":0},{"item_name":"Item E","full_packages":1,"max_sheets":5,"last_package":1}]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A6EBB-5512-4F88-B948-0726F3BE7814}">
  <sheetPr codeName="Arkusz3"/>
  <dimension ref="A1:K5"/>
  <sheetViews>
    <sheetView workbookViewId="0">
      <selection activeCell="K2" sqref="K2"/>
    </sheetView>
  </sheetViews>
  <sheetFormatPr defaultRowHeight="14.4" x14ac:dyDescent="0.3"/>
  <cols>
    <col min="1" max="1" width="13.109375" customWidth="1"/>
    <col min="2" max="2" width="19" customWidth="1"/>
    <col min="5" max="5" width="15.33203125" customWidth="1"/>
    <col min="6" max="6" width="17.88671875" customWidth="1"/>
  </cols>
  <sheetData>
    <row r="1" spans="1:11" x14ac:dyDescent="0.3">
      <c r="A1" t="s">
        <v>20</v>
      </c>
      <c r="B1" t="s">
        <v>21</v>
      </c>
      <c r="F1" t="s">
        <v>20</v>
      </c>
      <c r="G1" t="s">
        <v>24</v>
      </c>
      <c r="I1" s="1" t="s">
        <v>22</v>
      </c>
      <c r="K1" s="3" t="s">
        <v>21</v>
      </c>
    </row>
    <row r="2" spans="1:11" x14ac:dyDescent="0.3">
      <c r="A2" t="s">
        <v>3</v>
      </c>
      <c r="B2" t="str">
        <f>_xlfn.CONCAT(A2," [{",_xlfn.TEXTJOIN(",",TRUE,INDEX(Customer[JSON],1):INDEX(Customer[JSON],COUNTIFS(Customer[JSON],"&lt;&gt;"&amp;""))),"}]")</f>
        <v>"packages": [{"Customer A":  [{"item_name":"Item A","full_packages":2,"max_sheets":3,"last_package":2},{"item_name":"Item B","full_packages":4,"max_sheets":2,"last_package":0},{"item_name":"Item C","full_packages":1,"max_sheets":3,"last_package":1}],"Customer B":  [{"item_name":"Item A","full_packages":5,"max_sheets":3,"last_package":2},{"item_name":"Item B","full_packages":2,"max_sheets":2,"last_package":0},{"item_name":"Item C","full_packages":4,"max_sheets":3,"last_package":1},{"item_name":"Item D","full_packages":2,"max_sheets":2,"last_package":0},{"item_name":"Item E","full_packages":1,"max_sheets":5,"last_package":1}]}]</v>
      </c>
      <c r="F2" t="s">
        <v>0</v>
      </c>
      <c r="G2" t="s">
        <v>5</v>
      </c>
      <c r="I2" s="2" t="s">
        <v>4</v>
      </c>
      <c r="K2" s="4" t="str">
        <f>_xlfn.CONCAT("{",JSONcode[[#This Row],[JSON code]],"}")</f>
        <v>{"packages": [{"Customer A":  [{"item_name":"Item A","full_packages":2,"max_sheets":3,"last_package":2},{"item_name":"Item B","full_packages":4,"max_sheets":2,"last_package":0},{"item_name":"Item C","full_packages":1,"max_sheets":3,"last_package":1}],"Customer B":  [{"item_name":"Item A","full_packages":5,"max_sheets":3,"last_package":2},{"item_name":"Item B","full_packages":2,"max_sheets":2,"last_package":0},{"item_name":"Item C","full_packages":4,"max_sheets":3,"last_package":1},{"item_name":"Item D","full_packages":2,"max_sheets":2,"last_package":0},{"item_name":"Item E","full_packages":1,"max_sheets":5,"last_package":1}]}]}</v>
      </c>
    </row>
    <row r="3" spans="1:11" x14ac:dyDescent="0.3">
      <c r="F3" t="s">
        <v>1</v>
      </c>
      <c r="G3" t="s">
        <v>7</v>
      </c>
    </row>
    <row r="4" spans="1:11" x14ac:dyDescent="0.3">
      <c r="F4" t="s">
        <v>2</v>
      </c>
      <c r="G4" t="s">
        <v>6</v>
      </c>
    </row>
    <row r="5" spans="1:11" x14ac:dyDescent="0.3">
      <c r="F5" t="s">
        <v>25</v>
      </c>
      <c r="G5" t="s">
        <v>11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153652-E55F-46C9-80FA-08AED3BE5C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ExcelData</vt:lpstr>
      <vt:lpstr>Customer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Paweł Rudzinski-prakt</dc:creator>
  <cp:lastModifiedBy>Rudzinski, Pawel</cp:lastModifiedBy>
  <dcterms:created xsi:type="dcterms:W3CDTF">2015-06-05T18:19:34Z</dcterms:created>
  <dcterms:modified xsi:type="dcterms:W3CDTF">2025-06-10T17:00:12Z</dcterms:modified>
</cp:coreProperties>
</file>